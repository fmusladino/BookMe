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por Modulo" sheetId="1" state="visible" r:id="rId3"/>
    <sheet name="30 Funcionalidades MVP" sheetId="2" state="visible" r:id="rId4"/>
    <sheet name="Tareas Pendientes" sheetId="3" state="visible" r:id="rId5"/>
    <sheet name="Segurida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<sst xmlns="http://schemas.openxmlformats.org/spreadsheetml/2006/main" count="308" uniqueCount="185">
  <si>
    <t xml:space="preserve">BookMe — Estado del Proyecto vs CLAUDE.md</t>
  </si>
  <si>
    <t xml:space="preserve">Auditoría completa — Abril 2026</t>
  </si>
  <si>
    <t xml:space="preserve">Modulo</t>
  </si>
  <si>
    <t xml:space="preserve">Descripcion</t>
  </si>
  <si>
    <t xml:space="preserve">Estado</t>
  </si>
  <si>
    <t xml:space="preserve">% Completo</t>
  </si>
  <si>
    <t xml:space="preserve">Pendientes clave</t>
  </si>
  <si>
    <t xml:space="preserve">Mod 0</t>
  </si>
  <si>
    <t xml:space="preserve">Fundamentos (setup, DB, auth, PWA)</t>
  </si>
  <si>
    <t xml:space="preserve">COMPLETO</t>
  </si>
  <si>
    <t xml:space="preserve">Falta: deploy CI/CD a produccion</t>
  </si>
  <si>
    <t xml:space="preserve">Mod 1</t>
  </si>
  <si>
    <t xml:space="preserve">Gestion de agenda</t>
  </si>
  <si>
    <t xml:space="preserve">Todo implementado</t>
  </si>
  <si>
    <t xml:space="preserve">Mod 2</t>
  </si>
  <si>
    <t xml:space="preserve">Reserva online y directorio</t>
  </si>
  <si>
    <t xml:space="preserve">Mod 3</t>
  </si>
  <si>
    <t xml:space="preserve">Notificaciones (email + WhatsApp)</t>
  </si>
  <si>
    <t xml:space="preserve">Todo implementado (Resend + Twilio)</t>
  </si>
  <si>
    <t xml:space="preserve">Mod 4</t>
  </si>
  <si>
    <t xml:space="preserve">Historia clinica y notas</t>
  </si>
  <si>
    <t xml:space="preserve">AES-256 + audit logs implementados</t>
  </si>
  <si>
    <t xml:space="preserve">Mod 5</t>
  </si>
  <si>
    <t xml:space="preserve">MIA (Asistente IA)</t>
  </si>
  <si>
    <t xml:space="preserve">Funcional. Falta: onboarding paso a paso en UI</t>
  </si>
  <si>
    <t xml:space="preserve">Mod 6</t>
  </si>
  <si>
    <t xml:space="preserve">Facturacion y liquidacion OS</t>
  </si>
  <si>
    <t xml:space="preserve">PARCIAL</t>
  </si>
  <si>
    <t xml:space="preserve">Falta: integracion real con Facturante/Factura.ai (API live)</t>
  </si>
  <si>
    <t xml:space="preserve">Mod 7</t>
  </si>
  <si>
    <t xml:space="preserve">Dashboards</t>
  </si>
  <si>
    <t xml:space="preserve">Metricas basicas + financiero implementados</t>
  </si>
  <si>
    <t xml:space="preserve">Mod 8</t>
  </si>
  <si>
    <t xml:space="preserve">Paneles de admin</t>
  </si>
  <si>
    <t xml:space="preserve">Falta: app admin separada (apps/admin vacio). Panel marketing basico.</t>
  </si>
  <si>
    <t xml:space="preserve">TOTAL</t>
  </si>
  <si>
    <t xml:space="preserve">#</t>
  </si>
  <si>
    <t xml:space="preserve">Funcionalidad</t>
  </si>
  <si>
    <t xml:space="preserve">Linea</t>
  </si>
  <si>
    <t xml:space="preserve">Detalle / Que falta</t>
  </si>
  <si>
    <t xml:space="preserve">Onboarding guiado por MIA</t>
  </si>
  <si>
    <t xml:space="preserve">Ambas</t>
  </si>
  <si>
    <t xml:space="preserve">lib/mia/onboarding.ts implementado</t>
  </si>
  <si>
    <t xml:space="preserve">Importador de turnos</t>
  </si>
  <si>
    <t xml:space="preserve">CSV, XLSX, ICS. Pagina en /dashboard/importar</t>
  </si>
  <si>
    <t xml:space="preserve">Configuracion de agenda</t>
  </si>
  <si>
    <t xml:space="preserve">Horarios, duracion, bloqueos, vacaciones</t>
  </si>
  <si>
    <t xml:space="preserve">Vista semanal/mensual + listado dia</t>
  </si>
  <si>
    <t xml:space="preserve">Drag &amp; drop + vista Hoy</t>
  </si>
  <si>
    <t xml:space="preserve">Reserva online</t>
  </si>
  <si>
    <t xml:space="preserve">Registro + disponibilidad + confirmacion</t>
  </si>
  <si>
    <t xml:space="preserve">Directorio publico geolocalizado</t>
  </si>
  <si>
    <t xml:space="preserve">Filtros por rubro, ciudad, especialidad + Mapbox</t>
  </si>
  <si>
    <t xml:space="preserve">SEO — paginas por ciudad y especialidad</t>
  </si>
  <si>
    <t xml:space="preserve">Rutas dinamicas con metadata OG</t>
  </si>
  <si>
    <t xml:space="preserve">Confirmacion automatica</t>
  </si>
  <si>
    <t xml:space="preserve">Email (Resend) + WhatsApp (Twilio)</t>
  </si>
  <si>
    <t xml:space="preserve">Recordatorio 24hs antes</t>
  </si>
  <si>
    <t xml:space="preserve">Cron job /api/cron/reminders</t>
  </si>
  <si>
    <t xml:space="preserve">Notificacion de cambio de turno</t>
  </si>
  <si>
    <t xml:space="preserve">Email + WhatsApp al reprogramar/cancelar</t>
  </si>
  <si>
    <t xml:space="preserve">Cancelacion y reprogramacion online</t>
  </si>
  <si>
    <t xml:space="preserve">Desde panel profesional y paciente</t>
  </si>
  <si>
    <t xml:space="preserve">Turno cargado por el profesional</t>
  </si>
  <si>
    <t xml:space="preserve">Modal de creacion de turno manual</t>
  </si>
  <si>
    <t xml:space="preserve">Historia clinica digital</t>
  </si>
  <si>
    <t xml:space="preserve">Healthcare</t>
  </si>
  <si>
    <t xml:space="preserve">AES-256-GCM + audit trail + RLS</t>
  </si>
  <si>
    <t xml:space="preserve">Notas de sesion</t>
  </si>
  <si>
    <t xml:space="preserve">Business</t>
  </si>
  <si>
    <t xml:space="preserve">Texto libre por turno, RLS protegido</t>
  </si>
  <si>
    <t xml:space="preserve">Liquidacion a obra social</t>
  </si>
  <si>
    <t xml:space="preserve">CRUD + export listos. FALTA: API live a Facturante</t>
  </si>
  <si>
    <t xml:space="preserve">MIA basica (chat flotante)</t>
  </si>
  <si>
    <t xml:space="preserve">Intent recognition + acciones con confirmacion</t>
  </si>
  <si>
    <t xml:space="preserve">Dashboard de metricas basico</t>
  </si>
  <si>
    <t xml:space="preserve">Turnos, asistidos, cancelados, ausentes</t>
  </si>
  <si>
    <t xml:space="preserve">Dashboard financiero (Standard+)</t>
  </si>
  <si>
    <t xml:space="preserve">Ingresos + OS pendiente + total</t>
  </si>
  <si>
    <t xml:space="preserve">Link directo de reserva</t>
  </si>
  <si>
    <t xml:space="preserve">bookme.ar/@nombre con rewrite en middleware</t>
  </si>
  <si>
    <t xml:space="preserve">Widget Instagram Bio</t>
  </si>
  <si>
    <t xml:space="preserve">Link funciona, pero no hay widget especifico para IG</t>
  </si>
  <si>
    <t xml:space="preserve">Notificaciones push PWA (Standard+)</t>
  </si>
  <si>
    <t xml:space="preserve">Backend listo (push_subscriptions). FALTA: registro client-side del service worker push</t>
  </si>
  <si>
    <t xml:space="preserve">Catalogo de servicios + precio</t>
  </si>
  <si>
    <t xml:space="preserve">CRUD con precio opcional (show_price toggle)</t>
  </si>
  <si>
    <t xml:space="preserve">Login Google + Email/Contrasena</t>
  </si>
  <si>
    <t xml:space="preserve">Supabase Auth configurado</t>
  </si>
  <si>
    <t xml:space="preserve">Dark mode + PWA instalable</t>
  </si>
  <si>
    <t xml:space="preserve">next-themes + manifest.json + sw.js</t>
  </si>
  <si>
    <t xml:space="preserve">Super Admin en tiempo real</t>
  </si>
  <si>
    <t xml:space="preserve">Admin</t>
  </si>
  <si>
    <t xml:space="preserve">KPIs, gestion usuarios, cupones</t>
  </si>
  <si>
    <t xml:space="preserve">Usuario Marketing</t>
  </si>
  <si>
    <t xml:space="preserve">Stats, top profesionales, cupones (solo crear)</t>
  </si>
  <si>
    <t xml:space="preserve">Gestion de impago</t>
  </si>
  <si>
    <t xml:space="preserve">Sistema</t>
  </si>
  <si>
    <t xml:space="preserve">Flujo completo: aviso → gracia → read_only</t>
  </si>
  <si>
    <t xml:space="preserve">Trial: avisos de vencimiento</t>
  </si>
  <si>
    <t xml:space="preserve">Cron: 7d, 3d, 1d antes + dia de vencimiento</t>
  </si>
  <si>
    <t xml:space="preserve">Soporte</t>
  </si>
  <si>
    <t xml:space="preserve">FAQ basico existe. FALTA: ticketing o chat de soporte</t>
  </si>
  <si>
    <t xml:space="preserve">Google Analytics 4</t>
  </si>
  <si>
    <t xml:space="preserve">FALTANTE</t>
  </si>
  <si>
    <t xml:space="preserve">FALTA: componente GA4 + tracking de eventos</t>
  </si>
  <si>
    <t xml:space="preserve">Resumen:</t>
  </si>
  <si>
    <t xml:space="preserve">Prioridad</t>
  </si>
  <si>
    <t xml:space="preserve">Tarea</t>
  </si>
  <si>
    <t xml:space="preserve">Esfuerzo estimado</t>
  </si>
  <si>
    <t xml:space="preserve">Impacto</t>
  </si>
  <si>
    <t xml:space="preserve">Notas</t>
  </si>
  <si>
    <t xml:space="preserve">CRITICA</t>
  </si>
  <si>
    <t xml:space="preserve">Implementar Google Analytics 4 (GA4)</t>
  </si>
  <si>
    <t xml:space="preserve">2-3 horas</t>
  </si>
  <si>
    <t xml:space="preserve">Alto</t>
  </si>
  <si>
    <t xml:space="preserve">Componente GoogleAnalytics + eventos custom. Funcionalidad #30 del MVP.</t>
  </si>
  <si>
    <t xml:space="preserve">Push notifications: registro client-side en service worker</t>
  </si>
  <si>
    <t xml:space="preserve">4-6 horas</t>
  </si>
  <si>
    <t xml:space="preserve">El backend (push_subscriptions, /api/push/subscribe) existe. Falta: pedir permiso al usuario + registrar en sw.js + enviar subscription al server.</t>
  </si>
  <si>
    <t xml:space="preserve">Tests unitarios minimos por modulo</t>
  </si>
  <si>
    <t xml:space="preserve">Todos</t>
  </si>
  <si>
    <t xml:space="preserve">2-3 dias</t>
  </si>
  <si>
    <t xml:space="preserve">El CLAUDE.md exige "cada modulo debe tener sus propios tests unitarios minimos". Cero tests actualmente. Usar Vitest.</t>
  </si>
  <si>
    <t xml:space="preserve">Correr migracion 00007_performance_fixes.sql en Supabase</t>
  </si>
  <si>
    <t xml:space="preserve">5 minutos</t>
  </si>
  <si>
    <t xml:space="preserve">Trigger para sync rol al JWT + indices de performance. Sin esto, los fixes de performance no funcionan.</t>
  </si>
  <si>
    <t xml:space="preserve">ALTA</t>
  </si>
  <si>
    <t xml:space="preserve">Integracion live con Facturante o Factura.ai (AFIP)</t>
  </si>
  <si>
    <t xml:space="preserve">1-2 dias</t>
  </si>
  <si>
    <t xml:space="preserve">La estructura de export existe. Falta: llamada real al API del intermediario para facturacion electronica.</t>
  </si>
  <si>
    <t xml:space="preserve">Implementar app admin separada (apps/admin)</t>
  </si>
  <si>
    <t xml:space="preserve">3-5 dias</t>
  </si>
  <si>
    <t xml:space="preserve">Medio</t>
  </si>
  <si>
    <t xml:space="preserve">apps/admin/ esta vacio. Los paneles admin/marketing funcionan dentro de apps/web, pero el CLAUDE.md sugiere panel separado.</t>
  </si>
  <si>
    <t xml:space="preserve">Widget especifico para Instagram Bio</t>
  </si>
  <si>
    <t xml:space="preserve">Actualmente es solo el link bookme.ar/@nombre. Falta: landing optimizada para trafico de Instagram con CTA claro.</t>
  </si>
  <si>
    <t xml:space="preserve">Sistema de soporte/ticketing</t>
  </si>
  <si>
    <t xml:space="preserve">Solo hay FAQ basico. Falta: formulario de contacto o integracion con Crisp/Intercom/Zendesk.</t>
  </si>
  <si>
    <t xml:space="preserve">MEDIA</t>
  </si>
  <si>
    <t xml:space="preserve">Mejorar onboarding paso a paso en la UI</t>
  </si>
  <si>
    <t xml:space="preserve">1 dia</t>
  </si>
  <si>
    <t xml:space="preserve">MIA guia el onboarding, pero falta un wizard visual step-by-step en la UI (progress bar, pasos claros).</t>
  </si>
  <si>
    <t xml:space="preserve">Configurar deploy a produccion (Vercel)</t>
  </si>
  <si>
    <t xml:space="preserve">3-4 horas</t>
  </si>
  <si>
    <t xml:space="preserve">CI/CD existe para checks, pero no hay deploy automatico. Configurar Vercel + variables de entorno + dominio.</t>
  </si>
  <si>
    <t xml:space="preserve">ISR para paginas del directorio y SEO</t>
  </si>
  <si>
    <t xml:space="preserve">Las paginas de directorio son dinamicas. Usar Incremental Static Regeneration para mejor SEO y velocidad.</t>
  </si>
  <si>
    <t xml:space="preserve">Cache headers en API routes estaticas</t>
  </si>
  <si>
    <t xml:space="preserve">Las metricas y config no cambian frecuentemente. Agregar Cache-Control headers.</t>
  </si>
  <si>
    <t xml:space="preserve">Redis (Upstash) para cache de sesiones</t>
  </si>
  <si>
    <t xml:space="preserve">Reducir hits a Postgres cacheando sesiones en Redis. Especialmente util con muchos usuarios concurrentes.</t>
  </si>
  <si>
    <t xml:space="preserve">BAJA</t>
  </si>
  <si>
    <t xml:space="preserve">Panel de Admin de Consultorio (multi-profesional)</t>
  </si>
  <si>
    <t xml:space="preserve">Bajo</t>
  </si>
  <si>
    <t xml:space="preserve">Existe la estructura (clinic_admins, rutas /clinica/*), pero la funcionalidad de gestion multi-profesional no esta completa.</t>
  </si>
  <si>
    <t xml:space="preserve">Documentacion tecnica del proyecto</t>
  </si>
  <si>
    <t xml:space="preserve">No hay README con instrucciones de setup, arquitectura, variables de entorno, etc.</t>
  </si>
  <si>
    <t xml:space="preserve">Modo vacaciones (UI dedicada)</t>
  </si>
  <si>
    <t xml:space="preserve">Schedule blocks existen, pero no hay una UI dedicada de "modo vacaciones" con rango de fechas y mensaje automatico.</t>
  </si>
  <si>
    <t xml:space="preserve">Requisito</t>
  </si>
  <si>
    <t xml:space="preserve">Implementacion</t>
  </si>
  <si>
    <t xml:space="preserve">Archivo clave</t>
  </si>
  <si>
    <t xml:space="preserve">AES-256 para historia clinica</t>
  </si>
  <si>
    <t xml:space="preserve">IMPLEMENTADO</t>
  </si>
  <si>
    <t xml:space="preserve">AES-256-GCM con IV aleatorio por registro. Master key en env var.</t>
  </si>
  <si>
    <t xml:space="preserve">lib/crypto/clinical-record.ts</t>
  </si>
  <si>
    <t xml:space="preserve">RLS en todas las tablas sensibles</t>
  </si>
  <si>
    <t xml:space="preserve">Policies en profiles, professionals, patients, clinical_records, session_notes, billing_items</t>
  </si>
  <si>
    <t xml:space="preserve">00002_rls_policies.sql</t>
  </si>
  <si>
    <t xml:space="preserve">Profesional solo ve sus pacientes</t>
  </si>
  <si>
    <t xml:space="preserve">RLS policy: professional_id = auth.uid()</t>
  </si>
  <si>
    <t xml:space="preserve">Admin Consultorio: solo su clinica</t>
  </si>
  <si>
    <t xml:space="preserve">RLS con join a clinic_admins</t>
  </si>
  <si>
    <t xml:space="preserve">Audit logs para historia clinica</t>
  </si>
  <si>
    <t xml:space="preserve">Tabla clinical_record_audit: record_id, action, timestamp, IP</t>
  </si>
  <si>
    <t xml:space="preserve">00001_initial_schema.sql</t>
  </si>
  <si>
    <t xml:space="preserve">DNI como ID unico global</t>
  </si>
  <si>
    <t xml:space="preserve">Campo dni en patients, usado como identificador cross-linea</t>
  </si>
  <si>
    <t xml:space="preserve">Headers de seguridad</t>
  </si>
  <si>
    <t xml:space="preserve">X-Frame-Options, X-Content-Type-Options, Referrer-Policy, Permissions-Policy</t>
  </si>
  <si>
    <t xml:space="preserve">next.config.ts</t>
  </si>
  <si>
    <t xml:space="preserve">Proteccion por rol en middleware</t>
  </si>
  <si>
    <t xml:space="preserve">Rol leido del JWT (app_metadata), redireccion por panel</t>
  </si>
  <si>
    <t xml:space="preserve">middleware.ts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</si>
</sst>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2A47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2A47"/>
        <bgColor rgb="FF333333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E44A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74C3C"/>
      <rgbColor rgb="FF666666"/>
      <rgbColor rgb="FF969696"/>
      <rgbColor rgb="FF0F2A47"/>
      <rgbColor rgb="FF27AE6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2A47"/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5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s">
        <v>8</v>
      </c>
      <c r="C5" s="4" t="s">
        <v>9</v>
      </c>
      <c r="D5" s="6" t="n">
        <v>0.95</v>
      </c>
      <c r="E5" s="5" t="s">
        <v>10</v>
      </c>
    </row>
    <row r="6" customFormat="false" ht="15" hidden="false" customHeight="false" outlineLevel="0" collapsed="false">
      <c r="A6" s="4" t="s">
        <v>11</v>
      </c>
      <c r="B6" s="5" t="s">
        <v>12</v>
      </c>
      <c r="C6" s="4" t="s">
        <v>9</v>
      </c>
      <c r="D6" s="6" t="n">
        <v>1</v>
      </c>
      <c r="E6" s="5" t="s">
        <v>13</v>
      </c>
    </row>
    <row r="7" customFormat="false" ht="15" hidden="false" customHeight="false" outlineLevel="0" collapsed="false">
      <c r="A7" s="4" t="s">
        <v>14</v>
      </c>
      <c r="B7" s="5" t="s">
        <v>15</v>
      </c>
      <c r="C7" s="4" t="s">
        <v>9</v>
      </c>
      <c r="D7" s="6" t="n">
        <v>1</v>
      </c>
      <c r="E7" s="5" t="s">
        <v>13</v>
      </c>
    </row>
    <row r="8" customFormat="false" ht="15" hidden="false" customHeight="false" outlineLevel="0" collapsed="false">
      <c r="A8" s="4" t="s">
        <v>16</v>
      </c>
      <c r="B8" s="5" t="s">
        <v>17</v>
      </c>
      <c r="C8" s="4" t="s">
        <v>9</v>
      </c>
      <c r="D8" s="6" t="n">
        <v>1</v>
      </c>
      <c r="E8" s="5" t="s">
        <v>18</v>
      </c>
    </row>
    <row r="9" customFormat="false" ht="15" hidden="false" customHeight="false" outlineLevel="0" collapsed="false">
      <c r="A9" s="4" t="s">
        <v>19</v>
      </c>
      <c r="B9" s="5" t="s">
        <v>20</v>
      </c>
      <c r="C9" s="4" t="s">
        <v>9</v>
      </c>
      <c r="D9" s="6" t="n">
        <v>1</v>
      </c>
      <c r="E9" s="5" t="s">
        <v>21</v>
      </c>
    </row>
    <row r="10" customFormat="false" ht="15" hidden="false" customHeight="false" outlineLevel="0" collapsed="false">
      <c r="A10" s="4" t="s">
        <v>22</v>
      </c>
      <c r="B10" s="5" t="s">
        <v>23</v>
      </c>
      <c r="C10" s="4" t="s">
        <v>9</v>
      </c>
      <c r="D10" s="6" t="n">
        <v>0.95</v>
      </c>
      <c r="E10" s="5" t="s">
        <v>24</v>
      </c>
    </row>
    <row r="11" customFormat="false" ht="15" hidden="false" customHeight="false" outlineLevel="0" collapsed="false">
      <c r="A11" s="7" t="s">
        <v>25</v>
      </c>
      <c r="B11" s="8" t="s">
        <v>26</v>
      </c>
      <c r="C11" s="7" t="s">
        <v>27</v>
      </c>
      <c r="D11" s="9" t="n">
        <v>0.75</v>
      </c>
      <c r="E11" s="8" t="s">
        <v>28</v>
      </c>
    </row>
    <row r="12" customFormat="false" ht="15" hidden="false" customHeight="false" outlineLevel="0" collapsed="false">
      <c r="A12" s="4" t="s">
        <v>29</v>
      </c>
      <c r="B12" s="5" t="s">
        <v>30</v>
      </c>
      <c r="C12" s="4" t="s">
        <v>9</v>
      </c>
      <c r="D12" s="6" t="n">
        <v>1</v>
      </c>
      <c r="E12" s="5" t="s">
        <v>31</v>
      </c>
    </row>
    <row r="13" customFormat="false" ht="23.85" hidden="false" customHeight="false" outlineLevel="0" collapsed="false">
      <c r="A13" s="7" t="s">
        <v>32</v>
      </c>
      <c r="B13" s="8" t="s">
        <v>33</v>
      </c>
      <c r="C13" s="7" t="s">
        <v>27</v>
      </c>
      <c r="D13" s="9" t="n">
        <v>0.8</v>
      </c>
      <c r="E13" s="8" t="s">
        <v>34</v>
      </c>
    </row>
    <row r="14" customFormat="false" ht="15" hidden="false" customHeight="false" outlineLevel="0" collapsed="false">
      <c r="A14" s="10" t="s">
        <v>35</v>
      </c>
      <c r="B14" s="11"/>
      <c r="C14" s="11"/>
      <c r="D14" s="12" t="n">
        <f aca="false">AVERAGE(D5:D13)</f>
        <v>0.938888888888889</v>
      </c>
      <c r="E14" s="11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3" t="s">
        <v>36</v>
      </c>
      <c r="B1" s="3" t="s">
        <v>37</v>
      </c>
      <c r="C1" s="3" t="s">
        <v>38</v>
      </c>
      <c r="D1" s="3" t="s">
        <v>4</v>
      </c>
      <c r="E1" s="3" t="s">
        <v>39</v>
      </c>
    </row>
    <row r="2" customFormat="false" ht="15" hidden="false" customHeight="false" outlineLevel="0" collapsed="false">
      <c r="A2" s="4" t="n">
        <v>1</v>
      </c>
      <c r="B2" s="5" t="s">
        <v>40</v>
      </c>
      <c r="C2" s="4" t="s">
        <v>41</v>
      </c>
      <c r="D2" s="4" t="s">
        <v>9</v>
      </c>
      <c r="E2" s="5" t="s">
        <v>42</v>
      </c>
    </row>
    <row r="3" customFormat="false" ht="15" hidden="false" customHeight="false" outlineLevel="0" collapsed="false">
      <c r="A3" s="4" t="n">
        <v>2</v>
      </c>
      <c r="B3" s="5" t="s">
        <v>43</v>
      </c>
      <c r="C3" s="4" t="s">
        <v>41</v>
      </c>
      <c r="D3" s="4" t="s">
        <v>9</v>
      </c>
      <c r="E3" s="5" t="s">
        <v>44</v>
      </c>
    </row>
    <row r="4" customFormat="false" ht="15" hidden="false" customHeight="false" outlineLevel="0" collapsed="false">
      <c r="A4" s="4" t="n">
        <v>3</v>
      </c>
      <c r="B4" s="5" t="s">
        <v>45</v>
      </c>
      <c r="C4" s="4" t="s">
        <v>41</v>
      </c>
      <c r="D4" s="4" t="s">
        <v>9</v>
      </c>
      <c r="E4" s="5" t="s">
        <v>46</v>
      </c>
    </row>
    <row r="5" customFormat="false" ht="15" hidden="false" customHeight="false" outlineLevel="0" collapsed="false">
      <c r="A5" s="4" t="n">
        <v>4</v>
      </c>
      <c r="B5" s="5" t="s">
        <v>47</v>
      </c>
      <c r="C5" s="4" t="s">
        <v>41</v>
      </c>
      <c r="D5" s="4" t="s">
        <v>9</v>
      </c>
      <c r="E5" s="5" t="s">
        <v>48</v>
      </c>
    </row>
    <row r="6" customFormat="false" ht="15" hidden="false" customHeight="false" outlineLevel="0" collapsed="false">
      <c r="A6" s="4" t="n">
        <v>5</v>
      </c>
      <c r="B6" s="5" t="s">
        <v>49</v>
      </c>
      <c r="C6" s="4" t="s">
        <v>41</v>
      </c>
      <c r="D6" s="4" t="s">
        <v>9</v>
      </c>
      <c r="E6" s="5" t="s">
        <v>50</v>
      </c>
    </row>
    <row r="7" customFormat="false" ht="15" hidden="false" customHeight="false" outlineLevel="0" collapsed="false">
      <c r="A7" s="4" t="n">
        <v>6</v>
      </c>
      <c r="B7" s="5" t="s">
        <v>51</v>
      </c>
      <c r="C7" s="4" t="s">
        <v>41</v>
      </c>
      <c r="D7" s="4" t="s">
        <v>9</v>
      </c>
      <c r="E7" s="5" t="s">
        <v>52</v>
      </c>
    </row>
    <row r="8" customFormat="false" ht="15" hidden="false" customHeight="false" outlineLevel="0" collapsed="false">
      <c r="A8" s="4" t="n">
        <v>7</v>
      </c>
      <c r="B8" s="5" t="s">
        <v>53</v>
      </c>
      <c r="C8" s="4" t="s">
        <v>41</v>
      </c>
      <c r="D8" s="4" t="s">
        <v>9</v>
      </c>
      <c r="E8" s="5" t="s">
        <v>54</v>
      </c>
    </row>
    <row r="9" customFormat="false" ht="15" hidden="false" customHeight="false" outlineLevel="0" collapsed="false">
      <c r="A9" s="4" t="n">
        <v>8</v>
      </c>
      <c r="B9" s="5" t="s">
        <v>55</v>
      </c>
      <c r="C9" s="4" t="s">
        <v>41</v>
      </c>
      <c r="D9" s="4" t="s">
        <v>9</v>
      </c>
      <c r="E9" s="5" t="s">
        <v>56</v>
      </c>
    </row>
    <row r="10" customFormat="false" ht="15" hidden="false" customHeight="false" outlineLevel="0" collapsed="false">
      <c r="A10" s="4" t="n">
        <v>9</v>
      </c>
      <c r="B10" s="5" t="s">
        <v>57</v>
      </c>
      <c r="C10" s="4" t="s">
        <v>41</v>
      </c>
      <c r="D10" s="4" t="s">
        <v>9</v>
      </c>
      <c r="E10" s="5" t="s">
        <v>58</v>
      </c>
    </row>
    <row r="11" customFormat="false" ht="15" hidden="false" customHeight="false" outlineLevel="0" collapsed="false">
      <c r="A11" s="4" t="n">
        <v>10</v>
      </c>
      <c r="B11" s="5" t="s">
        <v>59</v>
      </c>
      <c r="C11" s="4" t="s">
        <v>41</v>
      </c>
      <c r="D11" s="4" t="s">
        <v>9</v>
      </c>
      <c r="E11" s="5" t="s">
        <v>60</v>
      </c>
    </row>
    <row r="12" customFormat="false" ht="15" hidden="false" customHeight="false" outlineLevel="0" collapsed="false">
      <c r="A12" s="4" t="n">
        <v>11</v>
      </c>
      <c r="B12" s="5" t="s">
        <v>61</v>
      </c>
      <c r="C12" s="4" t="s">
        <v>41</v>
      </c>
      <c r="D12" s="4" t="s">
        <v>9</v>
      </c>
      <c r="E12" s="5" t="s">
        <v>62</v>
      </c>
    </row>
    <row r="13" customFormat="false" ht="15" hidden="false" customHeight="false" outlineLevel="0" collapsed="false">
      <c r="A13" s="4" t="n">
        <v>12</v>
      </c>
      <c r="B13" s="5" t="s">
        <v>63</v>
      </c>
      <c r="C13" s="4" t="s">
        <v>41</v>
      </c>
      <c r="D13" s="4" t="s">
        <v>9</v>
      </c>
      <c r="E13" s="5" t="s">
        <v>64</v>
      </c>
    </row>
    <row r="14" customFormat="false" ht="15" hidden="false" customHeight="false" outlineLevel="0" collapsed="false">
      <c r="A14" s="4" t="n">
        <v>13</v>
      </c>
      <c r="B14" s="5" t="s">
        <v>65</v>
      </c>
      <c r="C14" s="4" t="s">
        <v>66</v>
      </c>
      <c r="D14" s="4" t="s">
        <v>9</v>
      </c>
      <c r="E14" s="5" t="s">
        <v>67</v>
      </c>
    </row>
    <row r="15" customFormat="false" ht="15" hidden="false" customHeight="false" outlineLevel="0" collapsed="false">
      <c r="A15" s="4" t="n">
        <v>14</v>
      </c>
      <c r="B15" s="5" t="s">
        <v>68</v>
      </c>
      <c r="C15" s="4" t="s">
        <v>69</v>
      </c>
      <c r="D15" s="4" t="s">
        <v>9</v>
      </c>
      <c r="E15" s="5" t="s">
        <v>70</v>
      </c>
    </row>
    <row r="16" customFormat="false" ht="15" hidden="false" customHeight="false" outlineLevel="0" collapsed="false">
      <c r="A16" s="7" t="n">
        <v>15</v>
      </c>
      <c r="B16" s="8" t="s">
        <v>71</v>
      </c>
      <c r="C16" s="7" t="s">
        <v>66</v>
      </c>
      <c r="D16" s="7" t="s">
        <v>27</v>
      </c>
      <c r="E16" s="8" t="s">
        <v>72</v>
      </c>
    </row>
    <row r="17" customFormat="false" ht="15" hidden="false" customHeight="false" outlineLevel="0" collapsed="false">
      <c r="A17" s="4" t="n">
        <v>16</v>
      </c>
      <c r="B17" s="5" t="s">
        <v>73</v>
      </c>
      <c r="C17" s="4" t="s">
        <v>41</v>
      </c>
      <c r="D17" s="4" t="s">
        <v>9</v>
      </c>
      <c r="E17" s="5" t="s">
        <v>74</v>
      </c>
    </row>
    <row r="18" customFormat="false" ht="15" hidden="false" customHeight="false" outlineLevel="0" collapsed="false">
      <c r="A18" s="4" t="n">
        <v>17</v>
      </c>
      <c r="B18" s="5" t="s">
        <v>75</v>
      </c>
      <c r="C18" s="4" t="s">
        <v>41</v>
      </c>
      <c r="D18" s="4" t="s">
        <v>9</v>
      </c>
      <c r="E18" s="5" t="s">
        <v>76</v>
      </c>
    </row>
    <row r="19" customFormat="false" ht="15" hidden="false" customHeight="false" outlineLevel="0" collapsed="false">
      <c r="A19" s="4" t="n">
        <v>18</v>
      </c>
      <c r="B19" s="5" t="s">
        <v>77</v>
      </c>
      <c r="C19" s="4" t="s">
        <v>66</v>
      </c>
      <c r="D19" s="4" t="s">
        <v>9</v>
      </c>
      <c r="E19" s="5" t="s">
        <v>78</v>
      </c>
    </row>
    <row r="20" customFormat="false" ht="15" hidden="false" customHeight="false" outlineLevel="0" collapsed="false">
      <c r="A20" s="4" t="n">
        <v>19</v>
      </c>
      <c r="B20" s="5" t="s">
        <v>79</v>
      </c>
      <c r="C20" s="4" t="s">
        <v>41</v>
      </c>
      <c r="D20" s="4" t="s">
        <v>9</v>
      </c>
      <c r="E20" s="5" t="s">
        <v>80</v>
      </c>
    </row>
    <row r="21" customFormat="false" ht="15" hidden="false" customHeight="false" outlineLevel="0" collapsed="false">
      <c r="A21" s="7" t="n">
        <v>20</v>
      </c>
      <c r="B21" s="8" t="s">
        <v>81</v>
      </c>
      <c r="C21" s="7" t="s">
        <v>41</v>
      </c>
      <c r="D21" s="7" t="s">
        <v>27</v>
      </c>
      <c r="E21" s="8" t="s">
        <v>82</v>
      </c>
    </row>
    <row r="22" customFormat="false" ht="23.85" hidden="false" customHeight="false" outlineLevel="0" collapsed="false">
      <c r="A22" s="7" t="n">
        <v>21</v>
      </c>
      <c r="B22" s="8" t="s">
        <v>83</v>
      </c>
      <c r="C22" s="7" t="s">
        <v>41</v>
      </c>
      <c r="D22" s="7" t="s">
        <v>27</v>
      </c>
      <c r="E22" s="8" t="s">
        <v>84</v>
      </c>
    </row>
    <row r="23" customFormat="false" ht="15" hidden="false" customHeight="false" outlineLevel="0" collapsed="false">
      <c r="A23" s="4" t="n">
        <v>22</v>
      </c>
      <c r="B23" s="5" t="s">
        <v>85</v>
      </c>
      <c r="C23" s="4" t="s">
        <v>41</v>
      </c>
      <c r="D23" s="4" t="s">
        <v>9</v>
      </c>
      <c r="E23" s="5" t="s">
        <v>86</v>
      </c>
    </row>
    <row r="24" customFormat="false" ht="15" hidden="false" customHeight="false" outlineLevel="0" collapsed="false">
      <c r="A24" s="4" t="n">
        <v>23</v>
      </c>
      <c r="B24" s="5" t="s">
        <v>87</v>
      </c>
      <c r="C24" s="4" t="s">
        <v>41</v>
      </c>
      <c r="D24" s="4" t="s">
        <v>9</v>
      </c>
      <c r="E24" s="5" t="s">
        <v>88</v>
      </c>
    </row>
    <row r="25" customFormat="false" ht="15" hidden="false" customHeight="false" outlineLevel="0" collapsed="false">
      <c r="A25" s="4" t="n">
        <v>24</v>
      </c>
      <c r="B25" s="5" t="s">
        <v>89</v>
      </c>
      <c r="C25" s="4" t="s">
        <v>41</v>
      </c>
      <c r="D25" s="4" t="s">
        <v>9</v>
      </c>
      <c r="E25" s="5" t="s">
        <v>90</v>
      </c>
    </row>
    <row r="26" customFormat="false" ht="15" hidden="false" customHeight="false" outlineLevel="0" collapsed="false">
      <c r="A26" s="4" t="n">
        <v>25</v>
      </c>
      <c r="B26" s="5" t="s">
        <v>91</v>
      </c>
      <c r="C26" s="4" t="s">
        <v>92</v>
      </c>
      <c r="D26" s="4" t="s">
        <v>9</v>
      </c>
      <c r="E26" s="5" t="s">
        <v>93</v>
      </c>
    </row>
    <row r="27" customFormat="false" ht="15" hidden="false" customHeight="false" outlineLevel="0" collapsed="false">
      <c r="A27" s="4" t="n">
        <v>26</v>
      </c>
      <c r="B27" s="5" t="s">
        <v>94</v>
      </c>
      <c r="C27" s="4" t="s">
        <v>92</v>
      </c>
      <c r="D27" s="4" t="s">
        <v>9</v>
      </c>
      <c r="E27" s="5" t="s">
        <v>95</v>
      </c>
    </row>
    <row r="28" customFormat="false" ht="15" hidden="false" customHeight="false" outlineLevel="0" collapsed="false">
      <c r="A28" s="4" t="n">
        <v>27</v>
      </c>
      <c r="B28" s="5" t="s">
        <v>96</v>
      </c>
      <c r="C28" s="4" t="s">
        <v>97</v>
      </c>
      <c r="D28" s="4" t="s">
        <v>9</v>
      </c>
      <c r="E28" s="5" t="s">
        <v>98</v>
      </c>
    </row>
    <row r="29" customFormat="false" ht="15" hidden="false" customHeight="false" outlineLevel="0" collapsed="false">
      <c r="A29" s="4" t="n">
        <v>28</v>
      </c>
      <c r="B29" s="5" t="s">
        <v>99</v>
      </c>
      <c r="C29" s="4" t="s">
        <v>97</v>
      </c>
      <c r="D29" s="4" t="s">
        <v>9</v>
      </c>
      <c r="E29" s="5" t="s">
        <v>100</v>
      </c>
    </row>
    <row r="30" customFormat="false" ht="15" hidden="false" customHeight="false" outlineLevel="0" collapsed="false">
      <c r="A30" s="7" t="n">
        <v>29</v>
      </c>
      <c r="B30" s="8" t="s">
        <v>101</v>
      </c>
      <c r="C30" s="7" t="s">
        <v>97</v>
      </c>
      <c r="D30" s="7" t="s">
        <v>27</v>
      </c>
      <c r="E30" s="8" t="s">
        <v>102</v>
      </c>
    </row>
    <row r="31" customFormat="false" ht="15" hidden="false" customHeight="false" outlineLevel="0" collapsed="false">
      <c r="A31" s="13" t="n">
        <v>30</v>
      </c>
      <c r="B31" s="14" t="s">
        <v>103</v>
      </c>
      <c r="C31" s="13" t="s">
        <v>97</v>
      </c>
      <c r="D31" s="13" t="s">
        <v>104</v>
      </c>
      <c r="E31" s="14" t="s">
        <v>105</v>
      </c>
    </row>
    <row r="33" customFormat="false" ht="15" hidden="false" customHeight="false" outlineLevel="0" collapsed="false">
      <c r="A33" s="15" t="s">
        <v>106</v>
      </c>
      <c r="B33" s="15" t="str">
        <f aca="false">COUNTIF(D2:D31,"COMPLETO") &amp; " completos, " &amp; COUNTIF(D2:D31,"PARCIAL") &amp; " parciales, " &amp; COUNTIF(D2:D31,"FALTANTE") &amp; " faltantes"</f>
        <v>25 completos, 4 parciales, 1 faltantes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70"/>
  </cols>
  <sheetData>
    <row r="1" customFormat="false" ht="26.85" hidden="false" customHeight="false" outlineLevel="0" collapsed="false">
      <c r="A1" s="3" t="s">
        <v>107</v>
      </c>
      <c r="B1" s="3" t="s">
        <v>108</v>
      </c>
      <c r="C1" s="3" t="s">
        <v>2</v>
      </c>
      <c r="D1" s="3" t="s">
        <v>109</v>
      </c>
      <c r="E1" s="3" t="s">
        <v>110</v>
      </c>
      <c r="F1" s="3" t="s">
        <v>111</v>
      </c>
    </row>
    <row r="2" customFormat="false" ht="15" hidden="false" customHeight="false" outlineLevel="0" collapsed="false">
      <c r="A2" s="13" t="s">
        <v>112</v>
      </c>
      <c r="B2" s="14" t="s">
        <v>113</v>
      </c>
      <c r="C2" s="13" t="s">
        <v>7</v>
      </c>
      <c r="D2" s="13" t="s">
        <v>114</v>
      </c>
      <c r="E2" s="13" t="s">
        <v>115</v>
      </c>
      <c r="F2" s="14" t="s">
        <v>116</v>
      </c>
    </row>
    <row r="3" customFormat="false" ht="23.85" hidden="false" customHeight="false" outlineLevel="0" collapsed="false">
      <c r="A3" s="13" t="s">
        <v>112</v>
      </c>
      <c r="B3" s="14" t="s">
        <v>117</v>
      </c>
      <c r="C3" s="13" t="s">
        <v>16</v>
      </c>
      <c r="D3" s="13" t="s">
        <v>118</v>
      </c>
      <c r="E3" s="13" t="s">
        <v>115</v>
      </c>
      <c r="F3" s="14" t="s">
        <v>119</v>
      </c>
    </row>
    <row r="4" customFormat="false" ht="23.85" hidden="false" customHeight="false" outlineLevel="0" collapsed="false">
      <c r="A4" s="13" t="s">
        <v>112</v>
      </c>
      <c r="B4" s="14" t="s">
        <v>120</v>
      </c>
      <c r="C4" s="13" t="s">
        <v>121</v>
      </c>
      <c r="D4" s="13" t="s">
        <v>122</v>
      </c>
      <c r="E4" s="13" t="s">
        <v>115</v>
      </c>
      <c r="F4" s="14" t="s">
        <v>123</v>
      </c>
    </row>
    <row r="5" customFormat="false" ht="23.85" hidden="false" customHeight="false" outlineLevel="0" collapsed="false">
      <c r="A5" s="13" t="s">
        <v>112</v>
      </c>
      <c r="B5" s="14" t="s">
        <v>124</v>
      </c>
      <c r="C5" s="13" t="s">
        <v>7</v>
      </c>
      <c r="D5" s="13" t="s">
        <v>125</v>
      </c>
      <c r="E5" s="13" t="s">
        <v>115</v>
      </c>
      <c r="F5" s="14" t="s">
        <v>126</v>
      </c>
    </row>
    <row r="6" customFormat="false" ht="23.85" hidden="false" customHeight="false" outlineLevel="0" collapsed="false">
      <c r="A6" s="7" t="s">
        <v>127</v>
      </c>
      <c r="B6" s="8" t="s">
        <v>128</v>
      </c>
      <c r="C6" s="7" t="s">
        <v>25</v>
      </c>
      <c r="D6" s="7" t="s">
        <v>129</v>
      </c>
      <c r="E6" s="7" t="s">
        <v>115</v>
      </c>
      <c r="F6" s="8" t="s">
        <v>130</v>
      </c>
    </row>
    <row r="7" customFormat="false" ht="23.85" hidden="false" customHeight="false" outlineLevel="0" collapsed="false">
      <c r="A7" s="7" t="s">
        <v>127</v>
      </c>
      <c r="B7" s="8" t="s">
        <v>131</v>
      </c>
      <c r="C7" s="7" t="s">
        <v>32</v>
      </c>
      <c r="D7" s="7" t="s">
        <v>132</v>
      </c>
      <c r="E7" s="7" t="s">
        <v>133</v>
      </c>
      <c r="F7" s="8" t="s">
        <v>134</v>
      </c>
    </row>
    <row r="8" customFormat="false" ht="23.85" hidden="false" customHeight="false" outlineLevel="0" collapsed="false">
      <c r="A8" s="7" t="s">
        <v>127</v>
      </c>
      <c r="B8" s="8" t="s">
        <v>135</v>
      </c>
      <c r="C8" s="7" t="s">
        <v>14</v>
      </c>
      <c r="D8" s="7" t="s">
        <v>114</v>
      </c>
      <c r="E8" s="7" t="s">
        <v>133</v>
      </c>
      <c r="F8" s="8" t="s">
        <v>136</v>
      </c>
    </row>
    <row r="9" customFormat="false" ht="23.85" hidden="false" customHeight="false" outlineLevel="0" collapsed="false">
      <c r="A9" s="7" t="s">
        <v>127</v>
      </c>
      <c r="B9" s="8" t="s">
        <v>137</v>
      </c>
      <c r="C9" s="7" t="s">
        <v>32</v>
      </c>
      <c r="D9" s="7" t="s">
        <v>129</v>
      </c>
      <c r="E9" s="7" t="s">
        <v>133</v>
      </c>
      <c r="F9" s="8" t="s">
        <v>138</v>
      </c>
    </row>
    <row r="10" customFormat="false" ht="23.85" hidden="false" customHeight="false" outlineLevel="0" collapsed="false">
      <c r="A10" s="10" t="s">
        <v>139</v>
      </c>
      <c r="B10" s="11" t="s">
        <v>140</v>
      </c>
      <c r="C10" s="10" t="s">
        <v>22</v>
      </c>
      <c r="D10" s="10" t="s">
        <v>141</v>
      </c>
      <c r="E10" s="10" t="s">
        <v>133</v>
      </c>
      <c r="F10" s="11" t="s">
        <v>142</v>
      </c>
    </row>
    <row r="11" customFormat="false" ht="23.85" hidden="false" customHeight="false" outlineLevel="0" collapsed="false">
      <c r="A11" s="10" t="s">
        <v>139</v>
      </c>
      <c r="B11" s="11" t="s">
        <v>143</v>
      </c>
      <c r="C11" s="10" t="s">
        <v>7</v>
      </c>
      <c r="D11" s="10" t="s">
        <v>144</v>
      </c>
      <c r="E11" s="10" t="s">
        <v>115</v>
      </c>
      <c r="F11" s="11" t="s">
        <v>145</v>
      </c>
    </row>
    <row r="12" customFormat="false" ht="23.85" hidden="false" customHeight="false" outlineLevel="0" collapsed="false">
      <c r="A12" s="10" t="s">
        <v>139</v>
      </c>
      <c r="B12" s="11" t="s">
        <v>146</v>
      </c>
      <c r="C12" s="10" t="s">
        <v>14</v>
      </c>
      <c r="D12" s="10" t="s">
        <v>118</v>
      </c>
      <c r="E12" s="10" t="s">
        <v>133</v>
      </c>
      <c r="F12" s="11" t="s">
        <v>147</v>
      </c>
    </row>
    <row r="13" customFormat="false" ht="15" hidden="false" customHeight="false" outlineLevel="0" collapsed="false">
      <c r="A13" s="10" t="s">
        <v>139</v>
      </c>
      <c r="B13" s="11" t="s">
        <v>148</v>
      </c>
      <c r="C13" s="10" t="s">
        <v>29</v>
      </c>
      <c r="D13" s="10" t="s">
        <v>114</v>
      </c>
      <c r="E13" s="10" t="s">
        <v>133</v>
      </c>
      <c r="F13" s="11" t="s">
        <v>149</v>
      </c>
    </row>
    <row r="14" customFormat="false" ht="23.85" hidden="false" customHeight="false" outlineLevel="0" collapsed="false">
      <c r="A14" s="10" t="s">
        <v>139</v>
      </c>
      <c r="B14" s="11" t="s">
        <v>150</v>
      </c>
      <c r="C14" s="10" t="s">
        <v>7</v>
      </c>
      <c r="D14" s="10" t="s">
        <v>118</v>
      </c>
      <c r="E14" s="10" t="s">
        <v>133</v>
      </c>
      <c r="F14" s="11" t="s">
        <v>151</v>
      </c>
    </row>
    <row r="15" customFormat="false" ht="23.85" hidden="false" customHeight="false" outlineLevel="0" collapsed="false">
      <c r="A15" s="10" t="s">
        <v>152</v>
      </c>
      <c r="B15" s="11" t="s">
        <v>153</v>
      </c>
      <c r="C15" s="10" t="s">
        <v>32</v>
      </c>
      <c r="D15" s="10" t="s">
        <v>132</v>
      </c>
      <c r="E15" s="10" t="s">
        <v>154</v>
      </c>
      <c r="F15" s="11" t="s">
        <v>155</v>
      </c>
    </row>
    <row r="16" customFormat="false" ht="15" hidden="false" customHeight="false" outlineLevel="0" collapsed="false">
      <c r="A16" s="10" t="s">
        <v>152</v>
      </c>
      <c r="B16" s="11" t="s">
        <v>156</v>
      </c>
      <c r="C16" s="10" t="s">
        <v>121</v>
      </c>
      <c r="D16" s="10" t="s">
        <v>141</v>
      </c>
      <c r="E16" s="10" t="s">
        <v>154</v>
      </c>
      <c r="F16" s="11" t="s">
        <v>157</v>
      </c>
    </row>
    <row r="17" customFormat="false" ht="23.85" hidden="false" customHeight="false" outlineLevel="0" collapsed="false">
      <c r="A17" s="10" t="s">
        <v>152</v>
      </c>
      <c r="B17" s="11" t="s">
        <v>158</v>
      </c>
      <c r="C17" s="10" t="s">
        <v>11</v>
      </c>
      <c r="D17" s="10" t="s">
        <v>144</v>
      </c>
      <c r="E17" s="10" t="s">
        <v>154</v>
      </c>
      <c r="F17" s="11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65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3" t="s">
        <v>160</v>
      </c>
      <c r="B1" s="3" t="s">
        <v>4</v>
      </c>
      <c r="C1" s="3" t="s">
        <v>161</v>
      </c>
      <c r="D1" s="3" t="s">
        <v>162</v>
      </c>
    </row>
    <row r="2" customFormat="false" ht="15" hidden="false" customHeight="false" outlineLevel="0" collapsed="false">
      <c r="A2" s="4" t="s">
        <v>163</v>
      </c>
      <c r="B2" s="4" t="s">
        <v>164</v>
      </c>
      <c r="C2" s="5" t="s">
        <v>165</v>
      </c>
      <c r="D2" s="5" t="s">
        <v>166</v>
      </c>
    </row>
    <row r="3" customFormat="false" ht="23.85" hidden="false" customHeight="false" outlineLevel="0" collapsed="false">
      <c r="A3" s="4" t="s">
        <v>167</v>
      </c>
      <c r="B3" s="4" t="s">
        <v>164</v>
      </c>
      <c r="C3" s="5" t="s">
        <v>168</v>
      </c>
      <c r="D3" s="5" t="s">
        <v>169</v>
      </c>
    </row>
    <row r="4" customFormat="false" ht="15" hidden="false" customHeight="false" outlineLevel="0" collapsed="false">
      <c r="A4" s="4" t="s">
        <v>170</v>
      </c>
      <c r="B4" s="4" t="s">
        <v>164</v>
      </c>
      <c r="C4" s="5" t="s">
        <v>171</v>
      </c>
      <c r="D4" s="5" t="s">
        <v>169</v>
      </c>
    </row>
    <row r="5" customFormat="false" ht="15" hidden="false" customHeight="false" outlineLevel="0" collapsed="false">
      <c r="A5" s="4" t="s">
        <v>172</v>
      </c>
      <c r="B5" s="4" t="s">
        <v>164</v>
      </c>
      <c r="C5" s="5" t="s">
        <v>173</v>
      </c>
      <c r="D5" s="5" t="s">
        <v>169</v>
      </c>
    </row>
    <row r="6" customFormat="false" ht="15" hidden="false" customHeight="false" outlineLevel="0" collapsed="false">
      <c r="A6" s="4" t="s">
        <v>174</v>
      </c>
      <c r="B6" s="4" t="s">
        <v>164</v>
      </c>
      <c r="C6" s="5" t="s">
        <v>175</v>
      </c>
      <c r="D6" s="5" t="s">
        <v>176</v>
      </c>
    </row>
    <row r="7" customFormat="false" ht="15" hidden="false" customHeight="false" outlineLevel="0" collapsed="false">
      <c r="A7" s="4" t="s">
        <v>177</v>
      </c>
      <c r="B7" s="4" t="s">
        <v>164</v>
      </c>
      <c r="C7" s="5" t="s">
        <v>178</v>
      </c>
      <c r="D7" s="5" t="s">
        <v>176</v>
      </c>
    </row>
    <row r="8" customFormat="false" ht="15" hidden="false" customHeight="false" outlineLevel="0" collapsed="false">
      <c r="A8" s="4" t="s">
        <v>179</v>
      </c>
      <c r="B8" s="4" t="s">
        <v>164</v>
      </c>
      <c r="C8" s="5" t="s">
        <v>180</v>
      </c>
      <c r="D8" s="5" t="s">
        <v>181</v>
      </c>
    </row>
    <row r="9" customFormat="false" ht="15" hidden="false" customHeight="false" outlineLevel="0" collapsed="false">
      <c r="A9" s="4" t="s">
        <v>182</v>
      </c>
      <c r="B9" s="4" t="s">
        <v>164</v>
      </c>
      <c r="C9" s="5" t="s">
        <v>183</v>
      </c>
      <c r="D9" s="5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2026-04-04T17:45:21Z</dcterms:created>
  <dc:creator>openpyxl</dc:creator>
  <dc:description/>
  <dc:language>en-US</dc:language>
  <cp:lastModifiedBy/>
  <dcterms:modified xsi:type="dcterms:W3CDTF">2026-04-04T17:45:21Z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